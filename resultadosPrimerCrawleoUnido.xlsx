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8ACFDFBE10E3DC/Documentos/proyecto prospector/"/>
    </mc:Choice>
  </mc:AlternateContent>
  <xr:revisionPtr revIDLastSave="27" documentId="8_{6021C9C1-54B0-4932-99D4-1C09FFA09B3A}" xr6:coauthVersionLast="47" xr6:coauthVersionMax="47" xr10:uidLastSave="{77180562-E00C-48CE-9C17-50465AE5DC27}"/>
  <bookViews>
    <workbookView xWindow="-120" yWindow="-120" windowWidth="29040" windowHeight="15720" xr2:uid="{BFF61753-57AD-4EB7-AA46-159AE56C66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5" i="1" l="1"/>
  <c r="I55" i="1"/>
  <c r="J55" i="1"/>
  <c r="K55" i="1"/>
  <c r="H55" i="1"/>
  <c r="L34" i="1"/>
  <c r="L35" i="1"/>
  <c r="L20" i="1"/>
  <c r="L49" i="1"/>
  <c r="L50" i="1"/>
  <c r="L36" i="1"/>
  <c r="L51" i="1"/>
  <c r="L37" i="1"/>
  <c r="L38" i="1"/>
  <c r="L39" i="1"/>
  <c r="L40" i="1"/>
  <c r="L41" i="1"/>
  <c r="L42" i="1"/>
  <c r="L52" i="1"/>
  <c r="L21" i="1"/>
  <c r="L3" i="1"/>
  <c r="L11" i="1"/>
  <c r="L22" i="1"/>
  <c r="L4" i="1"/>
  <c r="L43" i="1"/>
  <c r="L44" i="1"/>
  <c r="L53" i="1"/>
  <c r="L12" i="1"/>
  <c r="L23" i="1"/>
  <c r="L5" i="1"/>
  <c r="L6" i="1"/>
  <c r="L24" i="1"/>
  <c r="L13" i="1"/>
  <c r="L7" i="1"/>
  <c r="L25" i="1"/>
  <c r="L14" i="1"/>
  <c r="L26" i="1"/>
  <c r="L27" i="1"/>
  <c r="L45" i="1"/>
  <c r="L28" i="1"/>
  <c r="L29" i="1"/>
  <c r="L15" i="1"/>
  <c r="L16" i="1"/>
  <c r="L46" i="1"/>
  <c r="L30" i="1"/>
  <c r="L31" i="1"/>
  <c r="L47" i="1"/>
  <c r="L8" i="1"/>
  <c r="L17" i="1"/>
  <c r="L32" i="1"/>
  <c r="L9" i="1"/>
  <c r="L10" i="1"/>
  <c r="L48" i="1"/>
  <c r="L33" i="1"/>
  <c r="L18" i="1"/>
  <c r="L54" i="1"/>
  <c r="L19" i="1"/>
</calcChain>
</file>

<file path=xl/sharedStrings.xml><?xml version="1.0" encoding="utf-8"?>
<sst xmlns="http://schemas.openxmlformats.org/spreadsheetml/2006/main" count="439" uniqueCount="173">
  <si>
    <t>ASFI-Valores</t>
  </si>
  <si>
    <t>DGAC</t>
  </si>
  <si>
    <t>INE</t>
  </si>
  <si>
    <t>BBV</t>
  </si>
  <si>
    <t>BCB</t>
  </si>
  <si>
    <t>ADA</t>
  </si>
  <si>
    <t>SNIS</t>
  </si>
  <si>
    <t>APS</t>
  </si>
  <si>
    <t>CNDC</t>
  </si>
  <si>
    <t>ASFI</t>
  </si>
  <si>
    <t>ATT</t>
  </si>
  <si>
    <t>CEPAL</t>
  </si>
  <si>
    <t>FUNDEMPRESA</t>
  </si>
  <si>
    <t>BOLCEREALES</t>
  </si>
  <si>
    <t>ASOFIN</t>
  </si>
  <si>
    <t>FIFA</t>
  </si>
  <si>
    <t>UNDATA</t>
  </si>
  <si>
    <t>MDRyT</t>
  </si>
  <si>
    <t>ICCO</t>
  </si>
  <si>
    <t>APS/SOAT</t>
  </si>
  <si>
    <t>AE</t>
  </si>
  <si>
    <t>VIPFE</t>
  </si>
  <si>
    <t>ATC</t>
  </si>
  <si>
    <t>ASFI - FINRURAL</t>
  </si>
  <si>
    <t>TRANSTATS</t>
  </si>
  <si>
    <t>BM</t>
  </si>
  <si>
    <t>CADEXCO</t>
  </si>
  <si>
    <t>CEPROBOL</t>
  </si>
  <si>
    <t>SENAMHI</t>
  </si>
  <si>
    <t>FAM</t>
  </si>
  <si>
    <t>FDTA-Valles</t>
  </si>
  <si>
    <t>FEGASACRUZ</t>
  </si>
  <si>
    <t>OTROS HISTÓRICOS/BANCO MUNDIAL/DOING BUSINESS</t>
  </si>
  <si>
    <t>Min. Educación</t>
  </si>
  <si>
    <t>ITU</t>
  </si>
  <si>
    <t>IBCE - CAO</t>
  </si>
  <si>
    <t>ANAPO</t>
  </si>
  <si>
    <t>SIGMA</t>
  </si>
  <si>
    <t>FMI</t>
  </si>
  <si>
    <t>SICOES</t>
  </si>
  <si>
    <t>IBCH</t>
  </si>
  <si>
    <t>ASFI - BCB</t>
  </si>
  <si>
    <t>SABSA</t>
  </si>
  <si>
    <t>SEPREC</t>
  </si>
  <si>
    <t>Data.Gov</t>
  </si>
  <si>
    <t>Statistics Denmark</t>
  </si>
  <si>
    <t>MDRyT/OAP</t>
  </si>
  <si>
    <t>Fuente</t>
  </si>
  <si>
    <t>Institución</t>
  </si>
  <si>
    <t>Dirección web</t>
  </si>
  <si>
    <t>Autoridad de Supervisión del Sistema Financiero</t>
  </si>
  <si>
    <t>https://www.asfi.gob.bo</t>
  </si>
  <si>
    <t>Dirección General de Aeronáutica Civil</t>
  </si>
  <si>
    <t>https://www.dgac.gob.bo</t>
  </si>
  <si>
    <t>Instituto Nacional de Estadística</t>
  </si>
  <si>
    <t>https://www.ine.gob.bo</t>
  </si>
  <si>
    <t>Bolsa Boliviana de Valores</t>
  </si>
  <si>
    <t>https://www.bbv.com.bo</t>
  </si>
  <si>
    <t>Banco Central de Bolivia</t>
  </si>
  <si>
    <t>https://www.bcb.gob.bo</t>
  </si>
  <si>
    <t>ADA Bolivia</t>
  </si>
  <si>
    <t>Sistema Nacional de Información en Salud</t>
  </si>
  <si>
    <t>https://snis.minsalud.gob.bo</t>
  </si>
  <si>
    <t>Autoridad de Fiscalización y Control de Pensiones y Seguros</t>
  </si>
  <si>
    <t>https://www.aps.gob.bo</t>
  </si>
  <si>
    <t>Comisión Nacional de Defensa de la Competencia</t>
  </si>
  <si>
    <t>Autoridad de Regulación y Fiscalización de Telecomunicaciones y Transportes</t>
  </si>
  <si>
    <t>https://www.att.gob.bo</t>
  </si>
  <si>
    <t>Comisión Económica para América Latina y el Caribe</t>
  </si>
  <si>
    <t>https://www.cepal.org</t>
  </si>
  <si>
    <t>Registro de Comercio de Bolivia</t>
  </si>
  <si>
    <t>https://www.fundempresa.org.bo</t>
  </si>
  <si>
    <t>Bolcereales</t>
  </si>
  <si>
    <t>Asociación de Instituciones Financieras de Microfinanzas de Bolivia</t>
  </si>
  <si>
    <t>https://www.asofinbolivia.com</t>
  </si>
  <si>
    <t>FINRURAL/indicadores</t>
  </si>
  <si>
    <t>Finrural Bolivia</t>
  </si>
  <si>
    <t>https://www.finrural.bo</t>
  </si>
  <si>
    <t>Federación Internacional de Fútbol Asociación</t>
  </si>
  <si>
    <t>https://www.fifa.com</t>
  </si>
  <si>
    <t>United Nations Data</t>
  </si>
  <si>
    <t>https://data.un.org</t>
  </si>
  <si>
    <t>Ministerio de Desarrollo Rural y Tierras</t>
  </si>
  <si>
    <t>https://www.ruralytierras.gob.bo</t>
  </si>
  <si>
    <t>MMYM</t>
  </si>
  <si>
    <t>Ministerio de Minería y Metalurgia</t>
  </si>
  <si>
    <t>https://www.mineria.gob.bo</t>
  </si>
  <si>
    <t>International Cocoa Organization</t>
  </si>
  <si>
    <t>https://www.icco.org</t>
  </si>
  <si>
    <t>APS - Seguros SOAT</t>
  </si>
  <si>
    <t>Viceministerio de Inversión Pública y Financiamiento Externo</t>
  </si>
  <si>
    <t>https://www.vipfe.gob.bo</t>
  </si>
  <si>
    <t>Administradora de Tarjetas de Crédito</t>
  </si>
  <si>
    <t>ASFI / Finrural</t>
  </si>
  <si>
    <t>US Bureau of Transportation Statistics</t>
  </si>
  <si>
    <t>https://www.transtats.bts.gov</t>
  </si>
  <si>
    <t>Banco Mundial</t>
  </si>
  <si>
    <t>https://www.worldbank.org</t>
  </si>
  <si>
    <t>Cámara de Exportadores de Cochabamba</t>
  </si>
  <si>
    <t>https://www.cadexco.org.bo</t>
  </si>
  <si>
    <t>Centro Promoción Bolivia</t>
  </si>
  <si>
    <t>https://www.ceprobol.gob.bo</t>
  </si>
  <si>
    <t>Servicio Nacional de Meteorología e Hidrología</t>
  </si>
  <si>
    <t>https://www.senamhi.gob.bo</t>
  </si>
  <si>
    <t>OMC</t>
  </si>
  <si>
    <t>Organización Mundial del Comercio</t>
  </si>
  <si>
    <t>https://www.wto.org</t>
  </si>
  <si>
    <t>Federación de Asociaciones Municipales de Bolivia</t>
  </si>
  <si>
    <t>https://www.fam.bo</t>
  </si>
  <si>
    <t>Fundación para el Desarrollo Tecnológico Agropecuario de los Valles</t>
  </si>
  <si>
    <t>Federación de Ganaderos de Santa Cruz</t>
  </si>
  <si>
    <t>https://www.fegasacruz.org.bo</t>
  </si>
  <si>
    <t>Doing Business (Banco Mundial)</t>
  </si>
  <si>
    <t>https://www.doingbusiness.org</t>
  </si>
  <si>
    <t>Ministerio de Educación</t>
  </si>
  <si>
    <t>https://www.minedu.gob.bo</t>
  </si>
  <si>
    <t>International Telecommunication Union</t>
  </si>
  <si>
    <t>https://www.itu.int</t>
  </si>
  <si>
    <t>MHE</t>
  </si>
  <si>
    <t>Ministerio de Hidrocarburos y Energías</t>
  </si>
  <si>
    <t>https://www.hidrocarburos.gob.bo</t>
  </si>
  <si>
    <t>Instituto Boliviano de Comercio Exterior / Cámara Agropecuaria del Oriente</t>
  </si>
  <si>
    <t>https://www.ibce.org.bo</t>
  </si>
  <si>
    <t>Asociación de Productores de Oleaginosas y Trigo</t>
  </si>
  <si>
    <t>https://www.anapobolivia.org</t>
  </si>
  <si>
    <t>Industria Farmacéutica Sigma</t>
  </si>
  <si>
    <t>https://www.sigmacorp.com.bo</t>
  </si>
  <si>
    <t>Fondo Monetario Internacional</t>
  </si>
  <si>
    <t>https://www.imf.org</t>
  </si>
  <si>
    <t>Sistema de Contrataciones Estatales</t>
  </si>
  <si>
    <t>https://www.sicoes.gob.bo</t>
  </si>
  <si>
    <t>Instituto Boliviano del Cemento y Hormigón</t>
  </si>
  <si>
    <t>https://www.ibch.org.bo</t>
  </si>
  <si>
    <t>ASFI / Banco Central de Bolivia</t>
  </si>
  <si>
    <t>MEFP</t>
  </si>
  <si>
    <t>Ministerio de Economía y Finanzas Públicas</t>
  </si>
  <si>
    <t>https://www.economiayfinanzas.gob.bo</t>
  </si>
  <si>
    <t>Servicios de Aeropuertos Bolivianos S.A.</t>
  </si>
  <si>
    <t>https://www.sabsa.aero</t>
  </si>
  <si>
    <t>Servicio Plurinacional de Registro de Comercio</t>
  </si>
  <si>
    <t>https://www.seprec.gob.bo</t>
  </si>
  <si>
    <t>Portal de Datos Abiertos USA</t>
  </si>
  <si>
    <t>https://www.data.gov</t>
  </si>
  <si>
    <t>Danmarks Statistik</t>
  </si>
  <si>
    <t>https://www.dst.dk</t>
  </si>
  <si>
    <t>Ministerio de Desarrollo Rural y Tierras - OAP</t>
  </si>
  <si>
    <t>https://www.adascz.com.bo/</t>
  </si>
  <si>
    <t>https://www.cndc.bo/</t>
  </si>
  <si>
    <t>https://www.bolsadecereales.com/</t>
  </si>
  <si>
    <t>https://aetn.gob.bo/</t>
  </si>
  <si>
    <t>Autoridad de Fiscalizacion de Electricidad dey Tecnologia Nuclear</t>
  </si>
  <si>
    <t>https://www.redenlace.com.bo/</t>
  </si>
  <si>
    <t>https://www.icco.org/</t>
  </si>
  <si>
    <t>Crawler</t>
  </si>
  <si>
    <t>Alex</t>
  </si>
  <si>
    <t>Brami</t>
  </si>
  <si>
    <t>Douglas</t>
  </si>
  <si>
    <t>Rolando</t>
  </si>
  <si>
    <t>Columna1</t>
  </si>
  <si>
    <t>Columna2</t>
  </si>
  <si>
    <t>Columna3</t>
  </si>
  <si>
    <t>Columna5</t>
  </si>
  <si>
    <t>exitoso</t>
  </si>
  <si>
    <t>sin enlace directo</t>
  </si>
  <si>
    <t>bloqueo por robot.txt</t>
  </si>
  <si>
    <t>fuente denegada</t>
  </si>
  <si>
    <t>Glosa</t>
  </si>
  <si>
    <t>descripcion</t>
  </si>
  <si>
    <r>
      <t xml:space="preserve">Páginas que respondieron exitosamente con código </t>
    </r>
    <r>
      <rPr>
        <sz val="11"/>
        <color rgb="FF79C0FF"/>
        <rFont val="Consolas"/>
        <family val="3"/>
      </rPr>
      <t>`200 OK`</t>
    </r>
    <r>
      <rPr>
        <sz val="11"/>
        <color rgb="FFBBBEBF"/>
        <rFont val="Consolas"/>
        <family val="3"/>
      </rPr>
      <t>,</t>
    </r>
  </si>
  <si>
    <t>Sitios donde el crawler descubrió, extrajo, deduplicó y generó contratos JSON</t>
  </si>
  <si>
    <r>
      <t xml:space="preserve">Servidores que declaran explícitamente en su archivo </t>
    </r>
    <r>
      <rPr>
        <sz val="11"/>
        <color rgb="FF79C0FF"/>
        <rFont val="Consolas"/>
        <family val="3"/>
      </rPr>
      <t>`robots.txt`</t>
    </r>
    <r>
      <rPr>
        <sz val="11"/>
        <color rgb="FFBBBEBF"/>
        <rFont val="Consolas"/>
        <family val="3"/>
      </rPr>
      <t xml:space="preserve"> restricciones para agentes de crawling en la raíz o subdirectorios.</t>
    </r>
  </si>
  <si>
    <r>
      <t xml:space="preserve">Sitio donde la solicitud HTTP GET en frío recibió una respuesta </t>
    </r>
    <r>
      <rPr>
        <sz val="11"/>
        <color rgb="FF79C0FF"/>
        <rFont val="Consolas"/>
        <family val="3"/>
      </rPr>
      <t>`403 Forbidden`</t>
    </r>
    <r>
      <rPr>
        <sz val="11"/>
        <color rgb="FFBBBEBF"/>
        <rFont val="Consolas"/>
        <family val="3"/>
      </rPr>
      <t xml:space="preserve"> debido a filtros de firewall web o protección anti-bot.</t>
    </r>
  </si>
  <si>
    <t>éxito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</si>
</sst>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BBBEBF"/>
      <name val="Consolas"/>
      <family val="3"/>
    </font>
    <font>
      <sz val="11"/>
      <color rgb="FF79C0FF"/>
      <name val="Consolas"/>
      <family val="3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0" fillId="0" borderId="0" xfId="0" applyFont="1" applyFill="1"/>
    <xf numFmtId="9" fontId="5" fillId="0" borderId="0" xfId="0" applyNumberFormat="1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3820FF-E78E-4FDF-980B-85CAC8D230C7}" name="Tabla2" displayName="Tabla2" ref="D2:L55" totalsRowCount="1" headerRowDxfId="19" dataDxfId="18">
  <autoFilter ref="D2:L54" xr:uid="{8C3820FF-E78E-4FDF-980B-85CAC8D230C7}"/>
  <sortState xmlns:xlrd2="http://schemas.microsoft.com/office/spreadsheetml/2017/richdata2" ref="D3:L54">
    <sortCondition ref="L2:L54"/>
  </sortState>
  <tableColumns count="9">
    <tableColumn id="1" xr3:uid="{797430F9-D7BA-4651-B4B9-033DE73CDB15}" name="Fuente" dataDxfId="17" totalsRowDxfId="9"/>
    <tableColumn id="2" xr3:uid="{329D7BF6-9A54-49AD-8A02-D02176F3FAC0}" name="Institución" dataDxfId="16" totalsRowDxfId="8"/>
    <tableColumn id="3" xr3:uid="{757D8910-FDAC-44C7-863A-1AB2C29DC450}" name="Dirección web" dataDxfId="15" totalsRowDxfId="7"/>
    <tableColumn id="4" xr3:uid="{1B2D9F71-5CDD-4D38-8D3A-60B731A766FD}" name="Crawler" dataDxfId="14" totalsRowDxfId="6"/>
    <tableColumn id="5" xr3:uid="{2B88B12A-2208-400D-A986-675574A0E930}" name="Alex" totalsRowFunction="custom" dataDxfId="13" totalsRowDxfId="5">
      <totalsRowFormula>COUNTIF(Tabla2[Alex],"exitoso")</totalsRowFormula>
    </tableColumn>
    <tableColumn id="6" xr3:uid="{49905681-190D-4D7B-AE1E-7B6916AB58EF}" name="Brami" totalsRowFunction="custom" dataDxfId="12" totalsRowDxfId="4">
      <totalsRowFormula>COUNTIF(Tabla2[Brami],"exitoso")</totalsRowFormula>
    </tableColumn>
    <tableColumn id="7" xr3:uid="{E629B06F-F5C2-42F0-A794-83A8A8BF1BFA}" name="Douglas" totalsRowFunction="custom" dataDxfId="11" totalsRowDxfId="3">
      <totalsRowFormula>COUNTIF(Tabla2[Douglas],"exitoso")</totalsRowFormula>
    </tableColumn>
    <tableColumn id="8" xr3:uid="{0EEB97E6-10C3-4B1D-965E-D0413D8D7ADF}" name="Rolando" totalsRowFunction="custom" dataDxfId="10" totalsRowDxfId="2">
      <totalsRowFormula>COUNTIF(Tabla2[Rolando],"exitoso")</totalsRowFormula>
    </tableColumn>
    <tableColumn id="9" xr3:uid="{97853BAC-F01B-413C-A7A6-E80D924D8AE7}" name="éxito" totalsRowFunction="custom" dataDxfId="1" totalsRowDxfId="0" totalsRowCellStyle="Porcentaje">
      <calculatedColumnFormula>COUNTIF(Tabla2[[#This Row],[Alex]:[Rolando]],"exitoso")</calculatedColumnFormula>
      <totalsRowFormula>44/52</totalsRow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2036-EAA7-44D8-8159-51F7B595A572}">
  <dimension ref="D1:L64"/>
  <sheetViews>
    <sheetView tabSelected="1" topLeftCell="B30" workbookViewId="0">
      <selection activeCell="F66" sqref="F66"/>
    </sheetView>
  </sheetViews>
  <sheetFormatPr baseColWidth="10" defaultRowHeight="15" x14ac:dyDescent="0.25"/>
  <cols>
    <col min="4" max="4" width="18.7109375" customWidth="1"/>
    <col min="5" max="5" width="71.140625" customWidth="1"/>
    <col min="6" max="6" width="37" customWidth="1"/>
    <col min="7" max="7" width="11.7109375" customWidth="1"/>
    <col min="8" max="9" width="16.7109375" bestFit="1" customWidth="1"/>
    <col min="10" max="11" width="19.5703125" bestFit="1" customWidth="1"/>
    <col min="12" max="12" width="20" bestFit="1" customWidth="1"/>
    <col min="14" max="15" width="19.5703125" bestFit="1" customWidth="1"/>
    <col min="16" max="16" width="143" bestFit="1" customWidth="1"/>
  </cols>
  <sheetData>
    <row r="1" spans="4:12" x14ac:dyDescent="0.25">
      <c r="D1" s="1" t="s">
        <v>158</v>
      </c>
      <c r="E1" s="1" t="s">
        <v>159</v>
      </c>
      <c r="F1" s="1" t="s">
        <v>160</v>
      </c>
      <c r="G1" s="1" t="s">
        <v>161</v>
      </c>
    </row>
    <row r="2" spans="4:12" x14ac:dyDescent="0.25">
      <c r="D2" t="s">
        <v>47</v>
      </c>
      <c r="E2" t="s">
        <v>48</v>
      </c>
      <c r="F2" t="s">
        <v>49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s="4" t="s">
        <v>172</v>
      </c>
    </row>
    <row r="3" spans="4:12" x14ac:dyDescent="0.25">
      <c r="D3" t="s">
        <v>13</v>
      </c>
      <c r="E3" t="s">
        <v>72</v>
      </c>
      <c r="F3" t="s">
        <v>148</v>
      </c>
      <c r="G3" t="s">
        <v>156</v>
      </c>
      <c r="H3" s="3" t="s">
        <v>165</v>
      </c>
      <c r="I3" s="3" t="s">
        <v>163</v>
      </c>
      <c r="J3" t="s">
        <v>164</v>
      </c>
      <c r="K3" s="3" t="s">
        <v>165</v>
      </c>
      <c r="L3" s="4">
        <f>COUNTIF(Tabla2[[#This Row],[Alex]:[Rolando]],"exitoso")</f>
        <v>0</v>
      </c>
    </row>
    <row r="4" spans="4:12" x14ac:dyDescent="0.25">
      <c r="D4" t="s">
        <v>27</v>
      </c>
      <c r="E4" t="s">
        <v>100</v>
      </c>
      <c r="F4" t="s">
        <v>101</v>
      </c>
      <c r="G4" t="s">
        <v>156</v>
      </c>
      <c r="H4" s="3" t="s">
        <v>165</v>
      </c>
      <c r="I4" s="3" t="s">
        <v>163</v>
      </c>
      <c r="J4" t="s">
        <v>164</v>
      </c>
      <c r="K4" s="3" t="s">
        <v>164</v>
      </c>
      <c r="L4" s="4">
        <f>COUNTIF(Tabla2[[#This Row],[Alex]:[Rolando]],"exitoso")</f>
        <v>0</v>
      </c>
    </row>
    <row r="5" spans="4:12" x14ac:dyDescent="0.25">
      <c r="D5" t="s">
        <v>31</v>
      </c>
      <c r="E5" t="s">
        <v>110</v>
      </c>
      <c r="F5" t="s">
        <v>111</v>
      </c>
      <c r="G5" t="s">
        <v>154</v>
      </c>
      <c r="H5" s="3" t="s">
        <v>163</v>
      </c>
      <c r="I5" s="3" t="s">
        <v>163</v>
      </c>
      <c r="J5" t="s">
        <v>164</v>
      </c>
      <c r="K5" s="3" t="s">
        <v>163</v>
      </c>
      <c r="L5" s="4">
        <f>COUNTIF(Tabla2[[#This Row],[Alex]:[Rolando]],"exitoso")</f>
        <v>0</v>
      </c>
    </row>
    <row r="6" spans="4:12" x14ac:dyDescent="0.25">
      <c r="D6" t="s">
        <v>15</v>
      </c>
      <c r="E6" t="s">
        <v>78</v>
      </c>
      <c r="F6" t="s">
        <v>79</v>
      </c>
      <c r="G6" t="s">
        <v>155</v>
      </c>
      <c r="H6" s="3" t="s">
        <v>163</v>
      </c>
      <c r="I6" s="3" t="s">
        <v>163</v>
      </c>
      <c r="J6" t="s">
        <v>163</v>
      </c>
      <c r="K6" s="3" t="s">
        <v>163</v>
      </c>
      <c r="L6" s="4">
        <f>COUNTIF(Tabla2[[#This Row],[Alex]:[Rolando]],"exitoso")</f>
        <v>0</v>
      </c>
    </row>
    <row r="7" spans="4:12" x14ac:dyDescent="0.25">
      <c r="D7" t="s">
        <v>12</v>
      </c>
      <c r="E7" t="s">
        <v>70</v>
      </c>
      <c r="F7" t="s">
        <v>71</v>
      </c>
      <c r="G7" t="s">
        <v>155</v>
      </c>
      <c r="H7" s="3" t="s">
        <v>165</v>
      </c>
      <c r="I7" s="3" t="s">
        <v>163</v>
      </c>
      <c r="J7" t="s">
        <v>164</v>
      </c>
      <c r="K7" s="3" t="s">
        <v>163</v>
      </c>
      <c r="L7" s="4">
        <f>COUNTIF(Tabla2[[#This Row],[Alex]:[Rolando]],"exitoso")</f>
        <v>0</v>
      </c>
    </row>
    <row r="8" spans="4:12" x14ac:dyDescent="0.25">
      <c r="D8" t="s">
        <v>42</v>
      </c>
      <c r="E8" t="s">
        <v>137</v>
      </c>
      <c r="F8" t="s">
        <v>138</v>
      </c>
      <c r="G8" t="s">
        <v>155</v>
      </c>
      <c r="H8" s="3" t="s">
        <v>165</v>
      </c>
      <c r="I8" s="3" t="s">
        <v>163</v>
      </c>
      <c r="J8" t="s">
        <v>164</v>
      </c>
      <c r="K8" s="3" t="s">
        <v>164</v>
      </c>
      <c r="L8" s="4">
        <f>COUNTIF(Tabla2[[#This Row],[Alex]:[Rolando]],"exitoso")</f>
        <v>0</v>
      </c>
    </row>
    <row r="9" spans="4:12" x14ac:dyDescent="0.25">
      <c r="D9" t="s">
        <v>39</v>
      </c>
      <c r="E9" t="s">
        <v>129</v>
      </c>
      <c r="F9" t="s">
        <v>130</v>
      </c>
      <c r="G9" t="s">
        <v>155</v>
      </c>
      <c r="H9" s="3" t="s">
        <v>163</v>
      </c>
      <c r="I9" s="3" t="s">
        <v>163</v>
      </c>
      <c r="J9" t="s">
        <v>164</v>
      </c>
      <c r="K9" s="3" t="s">
        <v>163</v>
      </c>
      <c r="L9" s="4">
        <f>COUNTIF(Tabla2[[#This Row],[Alex]:[Rolando]],"exitoso")</f>
        <v>0</v>
      </c>
    </row>
    <row r="10" spans="4:12" x14ac:dyDescent="0.25">
      <c r="D10" t="s">
        <v>37</v>
      </c>
      <c r="E10" t="s">
        <v>125</v>
      </c>
      <c r="F10" t="s">
        <v>126</v>
      </c>
      <c r="G10" t="s">
        <v>157</v>
      </c>
      <c r="H10" s="3" t="s">
        <v>163</v>
      </c>
      <c r="I10" s="3" t="s">
        <v>163</v>
      </c>
      <c r="J10" t="s">
        <v>164</v>
      </c>
      <c r="K10" s="3" t="s">
        <v>163</v>
      </c>
      <c r="L10" s="4">
        <f>COUNTIF(Tabla2[[#This Row],[Alex]:[Rolando]],"exitoso")</f>
        <v>0</v>
      </c>
    </row>
    <row r="11" spans="4:12" x14ac:dyDescent="0.25">
      <c r="D11" t="s">
        <v>26</v>
      </c>
      <c r="E11" t="s">
        <v>98</v>
      </c>
      <c r="F11" t="s">
        <v>99</v>
      </c>
      <c r="G11" t="s">
        <v>155</v>
      </c>
      <c r="H11" s="3" t="s">
        <v>165</v>
      </c>
      <c r="I11" s="3" t="s">
        <v>163</v>
      </c>
      <c r="J11" t="s">
        <v>164</v>
      </c>
      <c r="K11" s="3" t="s">
        <v>162</v>
      </c>
      <c r="L11" s="4">
        <f>COUNTIF(Tabla2[[#This Row],[Alex]:[Rolando]],"exitoso")</f>
        <v>1</v>
      </c>
    </row>
    <row r="12" spans="4:12" x14ac:dyDescent="0.25">
      <c r="D12" t="s">
        <v>29</v>
      </c>
      <c r="E12" t="s">
        <v>107</v>
      </c>
      <c r="F12" t="s">
        <v>108</v>
      </c>
      <c r="G12" t="s">
        <v>155</v>
      </c>
      <c r="H12" s="3" t="s">
        <v>165</v>
      </c>
      <c r="I12" s="3" t="s">
        <v>163</v>
      </c>
      <c r="J12" t="s">
        <v>164</v>
      </c>
      <c r="K12" s="3" t="s">
        <v>162</v>
      </c>
      <c r="L12" s="4">
        <f>COUNTIF(Tabla2[[#This Row],[Alex]:[Rolando]],"exitoso")</f>
        <v>1</v>
      </c>
    </row>
    <row r="13" spans="4:12" x14ac:dyDescent="0.25">
      <c r="D13" t="s">
        <v>38</v>
      </c>
      <c r="E13" t="s">
        <v>127</v>
      </c>
      <c r="F13" t="s">
        <v>128</v>
      </c>
      <c r="G13" t="s">
        <v>154</v>
      </c>
      <c r="H13" s="3" t="s">
        <v>162</v>
      </c>
      <c r="I13" s="3" t="s">
        <v>163</v>
      </c>
      <c r="J13" t="s">
        <v>165</v>
      </c>
      <c r="K13" s="3" t="s">
        <v>165</v>
      </c>
      <c r="L13" s="4">
        <f>COUNTIF(Tabla2[[#This Row],[Alex]:[Rolando]],"exitoso")</f>
        <v>1</v>
      </c>
    </row>
    <row r="14" spans="4:12" x14ac:dyDescent="0.25">
      <c r="D14" t="s">
        <v>40</v>
      </c>
      <c r="E14" t="s">
        <v>131</v>
      </c>
      <c r="F14" t="s">
        <v>132</v>
      </c>
      <c r="G14" t="s">
        <v>156</v>
      </c>
      <c r="H14" s="3" t="s">
        <v>165</v>
      </c>
      <c r="I14" s="3" t="s">
        <v>163</v>
      </c>
      <c r="J14" t="s">
        <v>164</v>
      </c>
      <c r="K14" s="3" t="s">
        <v>162</v>
      </c>
      <c r="L14" s="4">
        <f>COUNTIF(Tabla2[[#This Row],[Alex]:[Rolando]],"exitoso")</f>
        <v>1</v>
      </c>
    </row>
    <row r="15" spans="4:12" x14ac:dyDescent="0.25">
      <c r="D15" t="s">
        <v>134</v>
      </c>
      <c r="E15" t="s">
        <v>135</v>
      </c>
      <c r="F15" t="s">
        <v>136</v>
      </c>
      <c r="G15" t="s">
        <v>154</v>
      </c>
      <c r="H15" s="3" t="s">
        <v>162</v>
      </c>
      <c r="I15" s="3" t="s">
        <v>163</v>
      </c>
      <c r="J15" t="s">
        <v>164</v>
      </c>
      <c r="K15" s="3" t="s">
        <v>163</v>
      </c>
      <c r="L15" s="4">
        <f>COUNTIF(Tabla2[[#This Row],[Alex]:[Rolando]],"exitoso")</f>
        <v>1</v>
      </c>
    </row>
    <row r="16" spans="4:12" x14ac:dyDescent="0.25">
      <c r="D16" t="s">
        <v>118</v>
      </c>
      <c r="E16" t="s">
        <v>119</v>
      </c>
      <c r="F16" t="s">
        <v>120</v>
      </c>
      <c r="G16" t="s">
        <v>156</v>
      </c>
      <c r="H16" s="3" t="s">
        <v>162</v>
      </c>
      <c r="I16" s="3" t="s">
        <v>163</v>
      </c>
      <c r="J16" t="s">
        <v>164</v>
      </c>
      <c r="K16" s="3" t="s">
        <v>163</v>
      </c>
      <c r="L16" s="4">
        <f>COUNTIF(Tabla2[[#This Row],[Alex]:[Rolando]],"exitoso")</f>
        <v>1</v>
      </c>
    </row>
    <row r="17" spans="4:12" x14ac:dyDescent="0.25">
      <c r="D17" t="s">
        <v>28</v>
      </c>
      <c r="E17" t="s">
        <v>102</v>
      </c>
      <c r="F17" t="s">
        <v>103</v>
      </c>
      <c r="G17" t="s">
        <v>157</v>
      </c>
      <c r="H17" s="3" t="s">
        <v>163</v>
      </c>
      <c r="I17" s="3" t="s">
        <v>163</v>
      </c>
      <c r="J17" t="s">
        <v>163</v>
      </c>
      <c r="K17" s="3" t="s">
        <v>162</v>
      </c>
      <c r="L17" s="4">
        <f>COUNTIF(Tabla2[[#This Row],[Alex]:[Rolando]],"exitoso")</f>
        <v>1</v>
      </c>
    </row>
    <row r="18" spans="4:12" x14ac:dyDescent="0.25">
      <c r="D18" t="s">
        <v>24</v>
      </c>
      <c r="E18" t="s">
        <v>94</v>
      </c>
      <c r="F18" t="s">
        <v>95</v>
      </c>
      <c r="G18" t="s">
        <v>157</v>
      </c>
      <c r="H18" s="3" t="s">
        <v>163</v>
      </c>
      <c r="I18" s="3" t="s">
        <v>163</v>
      </c>
      <c r="J18" t="s">
        <v>164</v>
      </c>
      <c r="K18" s="3" t="s">
        <v>162</v>
      </c>
      <c r="L18" s="4">
        <f>COUNTIF(Tabla2[[#This Row],[Alex]:[Rolando]],"exitoso")</f>
        <v>1</v>
      </c>
    </row>
    <row r="19" spans="4:12" x14ac:dyDescent="0.25">
      <c r="D19" t="s">
        <v>21</v>
      </c>
      <c r="E19" t="s">
        <v>90</v>
      </c>
      <c r="F19" t="s">
        <v>91</v>
      </c>
      <c r="G19" t="s">
        <v>154</v>
      </c>
      <c r="H19" s="3" t="s">
        <v>162</v>
      </c>
      <c r="I19" s="3" t="s">
        <v>163</v>
      </c>
      <c r="J19" t="s">
        <v>164</v>
      </c>
      <c r="K19" s="3" t="s">
        <v>163</v>
      </c>
      <c r="L19" s="4">
        <f>COUNTIF(Tabla2[[#This Row],[Alex]:[Rolando]],"exitoso")</f>
        <v>1</v>
      </c>
    </row>
    <row r="20" spans="4:12" x14ac:dyDescent="0.25">
      <c r="D20" t="s">
        <v>36</v>
      </c>
      <c r="E20" t="s">
        <v>123</v>
      </c>
      <c r="F20" t="s">
        <v>124</v>
      </c>
      <c r="G20" t="s">
        <v>154</v>
      </c>
      <c r="H20" s="3" t="s">
        <v>162</v>
      </c>
      <c r="I20" s="3" t="s">
        <v>163</v>
      </c>
      <c r="J20" t="s">
        <v>163</v>
      </c>
      <c r="K20" s="3" t="s">
        <v>162</v>
      </c>
      <c r="L20" s="4">
        <f>COUNTIF(Tabla2[[#This Row],[Alex]:[Rolando]],"exitoso")</f>
        <v>2</v>
      </c>
    </row>
    <row r="21" spans="4:12" x14ac:dyDescent="0.25">
      <c r="D21" t="s">
        <v>25</v>
      </c>
      <c r="E21" t="s">
        <v>96</v>
      </c>
      <c r="F21" t="s">
        <v>97</v>
      </c>
      <c r="G21" t="s">
        <v>154</v>
      </c>
      <c r="H21" s="3" t="s">
        <v>162</v>
      </c>
      <c r="I21" s="3" t="s">
        <v>163</v>
      </c>
      <c r="J21" t="s">
        <v>163</v>
      </c>
      <c r="K21" s="3" t="s">
        <v>162</v>
      </c>
      <c r="L21" s="4">
        <f>COUNTIF(Tabla2[[#This Row],[Alex]:[Rolando]],"exitoso")</f>
        <v>2</v>
      </c>
    </row>
    <row r="22" spans="4:12" x14ac:dyDescent="0.25">
      <c r="D22" t="s">
        <v>11</v>
      </c>
      <c r="E22" t="s">
        <v>68</v>
      </c>
      <c r="F22" t="s">
        <v>69</v>
      </c>
      <c r="G22" t="s">
        <v>154</v>
      </c>
      <c r="H22" s="3" t="s">
        <v>162</v>
      </c>
      <c r="I22" s="3" t="s">
        <v>163</v>
      </c>
      <c r="J22" t="s">
        <v>163</v>
      </c>
      <c r="K22" s="3" t="s">
        <v>162</v>
      </c>
      <c r="L22" s="4">
        <f>COUNTIF(Tabla2[[#This Row],[Alex]:[Rolando]],"exitoso")</f>
        <v>2</v>
      </c>
    </row>
    <row r="23" spans="4:12" x14ac:dyDescent="0.25">
      <c r="D23" t="s">
        <v>30</v>
      </c>
      <c r="E23" t="s">
        <v>109</v>
      </c>
      <c r="F23" t="s">
        <v>152</v>
      </c>
      <c r="G23" t="s">
        <v>156</v>
      </c>
      <c r="H23" s="3" t="s">
        <v>162</v>
      </c>
      <c r="I23" s="3" t="s">
        <v>163</v>
      </c>
      <c r="J23" t="s">
        <v>163</v>
      </c>
      <c r="K23" s="3" t="s">
        <v>162</v>
      </c>
      <c r="L23" s="4">
        <f>COUNTIF(Tabla2[[#This Row],[Alex]:[Rolando]],"exitoso")</f>
        <v>2</v>
      </c>
    </row>
    <row r="24" spans="4:12" x14ac:dyDescent="0.25">
      <c r="D24" t="s">
        <v>75</v>
      </c>
      <c r="E24" t="s">
        <v>76</v>
      </c>
      <c r="F24" t="s">
        <v>77</v>
      </c>
      <c r="G24" t="s">
        <v>154</v>
      </c>
      <c r="H24" s="3" t="s">
        <v>162</v>
      </c>
      <c r="I24" s="3" t="s">
        <v>163</v>
      </c>
      <c r="J24" t="s">
        <v>163</v>
      </c>
      <c r="K24" s="3" t="s">
        <v>162</v>
      </c>
      <c r="L24" s="4">
        <f>COUNTIF(Tabla2[[#This Row],[Alex]:[Rolando]],"exitoso")</f>
        <v>2</v>
      </c>
    </row>
    <row r="25" spans="4:12" x14ac:dyDescent="0.25">
      <c r="D25" t="s">
        <v>35</v>
      </c>
      <c r="E25" t="s">
        <v>121</v>
      </c>
      <c r="F25" t="s">
        <v>122</v>
      </c>
      <c r="G25" t="s">
        <v>157</v>
      </c>
      <c r="H25" s="3" t="s">
        <v>162</v>
      </c>
      <c r="I25" s="3" t="s">
        <v>163</v>
      </c>
      <c r="J25" t="s">
        <v>163</v>
      </c>
      <c r="K25" s="3" t="s">
        <v>162</v>
      </c>
      <c r="L25" s="4">
        <f>COUNTIF(Tabla2[[#This Row],[Alex]:[Rolando]],"exitoso")</f>
        <v>2</v>
      </c>
    </row>
    <row r="26" spans="4:12" x14ac:dyDescent="0.25">
      <c r="D26" t="s">
        <v>18</v>
      </c>
      <c r="E26" t="s">
        <v>87</v>
      </c>
      <c r="F26" t="s">
        <v>88</v>
      </c>
      <c r="G26" t="s">
        <v>155</v>
      </c>
      <c r="H26" s="3" t="s">
        <v>162</v>
      </c>
      <c r="I26" s="3" t="s">
        <v>163</v>
      </c>
      <c r="J26" t="s">
        <v>163</v>
      </c>
      <c r="K26" s="3" t="s">
        <v>162</v>
      </c>
      <c r="L26" s="4">
        <f>COUNTIF(Tabla2[[#This Row],[Alex]:[Rolando]],"exitoso")</f>
        <v>2</v>
      </c>
    </row>
    <row r="27" spans="4:12" x14ac:dyDescent="0.25">
      <c r="D27" t="s">
        <v>2</v>
      </c>
      <c r="E27" t="s">
        <v>54</v>
      </c>
      <c r="F27" t="s">
        <v>55</v>
      </c>
      <c r="G27" t="s">
        <v>156</v>
      </c>
      <c r="H27" s="3" t="s">
        <v>162</v>
      </c>
      <c r="I27" s="3" t="s">
        <v>163</v>
      </c>
      <c r="J27" t="s">
        <v>163</v>
      </c>
      <c r="K27" s="3" t="s">
        <v>162</v>
      </c>
      <c r="L27" s="4">
        <f>COUNTIF(Tabla2[[#This Row],[Alex]:[Rolando]],"exitoso")</f>
        <v>2</v>
      </c>
    </row>
    <row r="28" spans="4:12" x14ac:dyDescent="0.25">
      <c r="D28" t="s">
        <v>17</v>
      </c>
      <c r="E28" t="s">
        <v>82</v>
      </c>
      <c r="F28" t="s">
        <v>83</v>
      </c>
      <c r="G28" t="s">
        <v>157</v>
      </c>
      <c r="H28" s="3" t="s">
        <v>162</v>
      </c>
      <c r="I28" s="3" t="s">
        <v>163</v>
      </c>
      <c r="J28" t="s">
        <v>163</v>
      </c>
      <c r="K28" s="3" t="s">
        <v>162</v>
      </c>
      <c r="L28" s="4">
        <f>COUNTIF(Tabla2[[#This Row],[Alex]:[Rolando]],"exitoso")</f>
        <v>2</v>
      </c>
    </row>
    <row r="29" spans="4:12" x14ac:dyDescent="0.25">
      <c r="D29" t="s">
        <v>46</v>
      </c>
      <c r="E29" t="s">
        <v>145</v>
      </c>
      <c r="F29" t="s">
        <v>83</v>
      </c>
      <c r="G29" t="s">
        <v>155</v>
      </c>
      <c r="H29" s="3" t="s">
        <v>162</v>
      </c>
      <c r="I29" s="3" t="s">
        <v>163</v>
      </c>
      <c r="J29" t="s">
        <v>163</v>
      </c>
      <c r="K29" s="3" t="s">
        <v>162</v>
      </c>
      <c r="L29" s="4">
        <f>COUNTIF(Tabla2[[#This Row],[Alex]:[Rolando]],"exitoso")</f>
        <v>2</v>
      </c>
    </row>
    <row r="30" spans="4:12" x14ac:dyDescent="0.25">
      <c r="D30" t="s">
        <v>84</v>
      </c>
      <c r="E30" t="s">
        <v>85</v>
      </c>
      <c r="F30" t="s">
        <v>86</v>
      </c>
      <c r="G30" t="s">
        <v>154</v>
      </c>
      <c r="H30" s="3" t="s">
        <v>162</v>
      </c>
      <c r="I30" s="3" t="s">
        <v>163</v>
      </c>
      <c r="J30" t="s">
        <v>163</v>
      </c>
      <c r="K30" s="3" t="s">
        <v>162</v>
      </c>
      <c r="L30" s="4">
        <f>COUNTIF(Tabla2[[#This Row],[Alex]:[Rolando]],"exitoso")</f>
        <v>2</v>
      </c>
    </row>
    <row r="31" spans="4:12" x14ac:dyDescent="0.25">
      <c r="D31" t="s">
        <v>104</v>
      </c>
      <c r="E31" t="s">
        <v>105</v>
      </c>
      <c r="F31" t="s">
        <v>106</v>
      </c>
      <c r="G31" t="s">
        <v>154</v>
      </c>
      <c r="H31" s="3" t="s">
        <v>162</v>
      </c>
      <c r="I31" s="3" t="s">
        <v>163</v>
      </c>
      <c r="J31" t="s">
        <v>164</v>
      </c>
      <c r="K31" s="3" t="s">
        <v>162</v>
      </c>
      <c r="L31" s="4">
        <f>COUNTIF(Tabla2[[#This Row],[Alex]:[Rolando]],"exitoso")</f>
        <v>2</v>
      </c>
    </row>
    <row r="32" spans="4:12" x14ac:dyDescent="0.25">
      <c r="D32" t="s">
        <v>43</v>
      </c>
      <c r="E32" t="s">
        <v>139</v>
      </c>
      <c r="F32" t="s">
        <v>140</v>
      </c>
      <c r="G32" t="s">
        <v>156</v>
      </c>
      <c r="H32" s="3" t="s">
        <v>162</v>
      </c>
      <c r="I32" s="3" t="s">
        <v>163</v>
      </c>
      <c r="J32" t="s">
        <v>164</v>
      </c>
      <c r="K32" s="3" t="s">
        <v>162</v>
      </c>
      <c r="L32" s="4">
        <f>COUNTIF(Tabla2[[#This Row],[Alex]:[Rolando]],"exitoso")</f>
        <v>2</v>
      </c>
    </row>
    <row r="33" spans="4:12" x14ac:dyDescent="0.25">
      <c r="D33" t="s">
        <v>45</v>
      </c>
      <c r="E33" t="s">
        <v>143</v>
      </c>
      <c r="F33" t="s">
        <v>144</v>
      </c>
      <c r="G33" t="s">
        <v>154</v>
      </c>
      <c r="H33" s="3" t="s">
        <v>162</v>
      </c>
      <c r="I33" s="3" t="s">
        <v>163</v>
      </c>
      <c r="J33" t="s">
        <v>163</v>
      </c>
      <c r="K33" s="3" t="s">
        <v>162</v>
      </c>
      <c r="L33" s="4">
        <f>COUNTIF(Tabla2[[#This Row],[Alex]:[Rolando]],"exitoso")</f>
        <v>2</v>
      </c>
    </row>
    <row r="34" spans="4:12" x14ac:dyDescent="0.25">
      <c r="D34" t="s">
        <v>5</v>
      </c>
      <c r="E34" t="s">
        <v>60</v>
      </c>
      <c r="F34" t="s">
        <v>146</v>
      </c>
      <c r="G34" t="s">
        <v>155</v>
      </c>
      <c r="H34" s="3" t="s">
        <v>162</v>
      </c>
      <c r="I34" s="3" t="s">
        <v>163</v>
      </c>
      <c r="J34" t="s">
        <v>162</v>
      </c>
      <c r="K34" s="3" t="s">
        <v>162</v>
      </c>
      <c r="L34" s="4">
        <f>COUNTIF(Tabla2[[#This Row],[Alex]:[Rolando]],"exitoso")</f>
        <v>3</v>
      </c>
    </row>
    <row r="35" spans="4:12" x14ac:dyDescent="0.25">
      <c r="D35" t="s">
        <v>20</v>
      </c>
      <c r="E35" t="s">
        <v>150</v>
      </c>
      <c r="F35" t="s">
        <v>149</v>
      </c>
      <c r="G35" t="s">
        <v>157</v>
      </c>
      <c r="H35" s="3" t="s">
        <v>162</v>
      </c>
      <c r="I35" s="3" t="s">
        <v>162</v>
      </c>
      <c r="J35" t="s">
        <v>163</v>
      </c>
      <c r="K35" s="3" t="s">
        <v>162</v>
      </c>
      <c r="L35" s="4">
        <f>COUNTIF(Tabla2[[#This Row],[Alex]:[Rolando]],"exitoso")</f>
        <v>3</v>
      </c>
    </row>
    <row r="36" spans="4:12" x14ac:dyDescent="0.25">
      <c r="D36" t="s">
        <v>9</v>
      </c>
      <c r="E36" t="s">
        <v>50</v>
      </c>
      <c r="F36" t="s">
        <v>51</v>
      </c>
      <c r="G36" t="s">
        <v>156</v>
      </c>
      <c r="H36" s="3" t="s">
        <v>162</v>
      </c>
      <c r="I36" s="3" t="s">
        <v>162</v>
      </c>
      <c r="J36" t="s">
        <v>163</v>
      </c>
      <c r="K36" s="3" t="s">
        <v>162</v>
      </c>
      <c r="L36" s="4">
        <f>COUNTIF(Tabla2[[#This Row],[Alex]:[Rolando]],"exitoso")</f>
        <v>3</v>
      </c>
    </row>
    <row r="37" spans="4:12" x14ac:dyDescent="0.25">
      <c r="D37" t="s">
        <v>23</v>
      </c>
      <c r="E37" t="s">
        <v>93</v>
      </c>
      <c r="F37" t="s">
        <v>51</v>
      </c>
      <c r="G37" t="s">
        <v>156</v>
      </c>
      <c r="H37" s="3" t="s">
        <v>162</v>
      </c>
      <c r="I37" s="3" t="s">
        <v>162</v>
      </c>
      <c r="J37" t="s">
        <v>163</v>
      </c>
      <c r="K37" s="3" t="s">
        <v>162</v>
      </c>
      <c r="L37" s="4">
        <f>COUNTIF(Tabla2[[#This Row],[Alex]:[Rolando]],"exitoso")</f>
        <v>3</v>
      </c>
    </row>
    <row r="38" spans="4:12" x14ac:dyDescent="0.25">
      <c r="D38" t="s">
        <v>0</v>
      </c>
      <c r="E38" t="s">
        <v>50</v>
      </c>
      <c r="F38" t="s">
        <v>51</v>
      </c>
      <c r="G38" t="s">
        <v>154</v>
      </c>
      <c r="H38" s="3" t="s">
        <v>162</v>
      </c>
      <c r="I38" s="3" t="s">
        <v>162</v>
      </c>
      <c r="J38" t="s">
        <v>163</v>
      </c>
      <c r="K38" s="3" t="s">
        <v>162</v>
      </c>
      <c r="L38" s="4">
        <f>COUNTIF(Tabla2[[#This Row],[Alex]:[Rolando]],"exitoso")</f>
        <v>3</v>
      </c>
    </row>
    <row r="39" spans="4:12" x14ac:dyDescent="0.25">
      <c r="D39" t="s">
        <v>14</v>
      </c>
      <c r="E39" t="s">
        <v>73</v>
      </c>
      <c r="F39" t="s">
        <v>74</v>
      </c>
      <c r="G39" t="s">
        <v>157</v>
      </c>
      <c r="H39" s="3" t="s">
        <v>162</v>
      </c>
      <c r="I39" s="3" t="s">
        <v>162</v>
      </c>
      <c r="J39" t="s">
        <v>164</v>
      </c>
      <c r="K39" s="3" t="s">
        <v>162</v>
      </c>
      <c r="L39" s="4">
        <f>COUNTIF(Tabla2[[#This Row],[Alex]:[Rolando]],"exitoso")</f>
        <v>3</v>
      </c>
    </row>
    <row r="40" spans="4:12" x14ac:dyDescent="0.25">
      <c r="D40" t="s">
        <v>22</v>
      </c>
      <c r="E40" t="s">
        <v>92</v>
      </c>
      <c r="F40" t="s">
        <v>151</v>
      </c>
      <c r="G40" t="s">
        <v>155</v>
      </c>
      <c r="H40" s="3" t="s">
        <v>162</v>
      </c>
      <c r="I40" s="3" t="s">
        <v>162</v>
      </c>
      <c r="J40" t="s">
        <v>163</v>
      </c>
      <c r="K40" s="3" t="s">
        <v>162</v>
      </c>
      <c r="L40" s="4">
        <f>COUNTIF(Tabla2[[#This Row],[Alex]:[Rolando]],"exitoso")</f>
        <v>3</v>
      </c>
    </row>
    <row r="41" spans="4:12" x14ac:dyDescent="0.25">
      <c r="D41" t="s">
        <v>10</v>
      </c>
      <c r="E41" t="s">
        <v>66</v>
      </c>
      <c r="F41" t="s">
        <v>67</v>
      </c>
      <c r="G41" t="s">
        <v>157</v>
      </c>
      <c r="H41" s="3" t="s">
        <v>162</v>
      </c>
      <c r="I41" s="3" t="s">
        <v>162</v>
      </c>
      <c r="J41" t="s">
        <v>163</v>
      </c>
      <c r="K41" s="3" t="s">
        <v>162</v>
      </c>
      <c r="L41" s="4">
        <f>COUNTIF(Tabla2[[#This Row],[Alex]:[Rolando]],"exitoso")</f>
        <v>3</v>
      </c>
    </row>
    <row r="42" spans="4:12" x14ac:dyDescent="0.25">
      <c r="D42" t="s">
        <v>3</v>
      </c>
      <c r="E42" t="s">
        <v>56</v>
      </c>
      <c r="F42" t="s">
        <v>57</v>
      </c>
      <c r="G42" t="s">
        <v>157</v>
      </c>
      <c r="H42" s="3" t="s">
        <v>162</v>
      </c>
      <c r="I42" s="3" t="s">
        <v>163</v>
      </c>
      <c r="J42" t="s">
        <v>162</v>
      </c>
      <c r="K42" s="3" t="s">
        <v>162</v>
      </c>
      <c r="L42" s="4">
        <f>COUNTIF(Tabla2[[#This Row],[Alex]:[Rolando]],"exitoso")</f>
        <v>3</v>
      </c>
    </row>
    <row r="43" spans="4:12" x14ac:dyDescent="0.25">
      <c r="D43" t="s">
        <v>8</v>
      </c>
      <c r="E43" t="s">
        <v>65</v>
      </c>
      <c r="F43" t="s">
        <v>147</v>
      </c>
      <c r="G43" t="s">
        <v>155</v>
      </c>
      <c r="H43" s="3" t="s">
        <v>162</v>
      </c>
      <c r="I43" s="3" t="s">
        <v>162</v>
      </c>
      <c r="J43" t="s">
        <v>163</v>
      </c>
      <c r="K43" s="3" t="s">
        <v>162</v>
      </c>
      <c r="L43" s="4">
        <f>COUNTIF(Tabla2[[#This Row],[Alex]:[Rolando]],"exitoso")</f>
        <v>3</v>
      </c>
    </row>
    <row r="44" spans="4:12" x14ac:dyDescent="0.25">
      <c r="D44" t="s">
        <v>44</v>
      </c>
      <c r="E44" t="s">
        <v>141</v>
      </c>
      <c r="F44" t="s">
        <v>142</v>
      </c>
      <c r="G44" t="s">
        <v>157</v>
      </c>
      <c r="H44" s="3" t="s">
        <v>162</v>
      </c>
      <c r="I44" s="3" t="s">
        <v>162</v>
      </c>
      <c r="J44" t="s">
        <v>163</v>
      </c>
      <c r="K44" s="3" t="s">
        <v>162</v>
      </c>
      <c r="L44" s="4">
        <f>COUNTIF(Tabla2[[#This Row],[Alex]:[Rolando]],"exitoso")</f>
        <v>3</v>
      </c>
    </row>
    <row r="45" spans="4:12" x14ac:dyDescent="0.25">
      <c r="D45" t="s">
        <v>34</v>
      </c>
      <c r="E45" t="s">
        <v>116</v>
      </c>
      <c r="F45" t="s">
        <v>117</v>
      </c>
      <c r="G45" t="s">
        <v>155</v>
      </c>
      <c r="H45" s="3" t="s">
        <v>162</v>
      </c>
      <c r="I45" s="3" t="s">
        <v>163</v>
      </c>
      <c r="J45" t="s">
        <v>162</v>
      </c>
      <c r="K45" s="3" t="s">
        <v>162</v>
      </c>
      <c r="L45" s="4">
        <f>COUNTIF(Tabla2[[#This Row],[Alex]:[Rolando]],"exitoso")</f>
        <v>3</v>
      </c>
    </row>
    <row r="46" spans="4:12" x14ac:dyDescent="0.25">
      <c r="D46" t="s">
        <v>33</v>
      </c>
      <c r="E46" t="s">
        <v>114</v>
      </c>
      <c r="F46" t="s">
        <v>115</v>
      </c>
      <c r="G46" t="s">
        <v>157</v>
      </c>
      <c r="H46" s="3" t="s">
        <v>162</v>
      </c>
      <c r="I46" s="3" t="s">
        <v>162</v>
      </c>
      <c r="J46" t="s">
        <v>164</v>
      </c>
      <c r="K46" s="3" t="s">
        <v>162</v>
      </c>
      <c r="L46" s="4">
        <f>COUNTIF(Tabla2[[#This Row],[Alex]:[Rolando]],"exitoso")</f>
        <v>3</v>
      </c>
    </row>
    <row r="47" spans="4:12" x14ac:dyDescent="0.25">
      <c r="D47" t="s">
        <v>32</v>
      </c>
      <c r="E47" t="s">
        <v>112</v>
      </c>
      <c r="F47" t="s">
        <v>113</v>
      </c>
      <c r="G47" t="s">
        <v>155</v>
      </c>
      <c r="H47" s="3" t="s">
        <v>162</v>
      </c>
      <c r="I47" s="3" t="s">
        <v>163</v>
      </c>
      <c r="J47" t="s">
        <v>162</v>
      </c>
      <c r="K47" s="3" t="s">
        <v>162</v>
      </c>
      <c r="L47" s="4">
        <f>COUNTIF(Tabla2[[#This Row],[Alex]:[Rolando]],"exitoso")</f>
        <v>3</v>
      </c>
    </row>
    <row r="48" spans="4:12" x14ac:dyDescent="0.25">
      <c r="D48" t="s">
        <v>6</v>
      </c>
      <c r="E48" t="s">
        <v>61</v>
      </c>
      <c r="F48" t="s">
        <v>62</v>
      </c>
      <c r="G48" t="s">
        <v>157</v>
      </c>
      <c r="H48" s="3" t="s">
        <v>162</v>
      </c>
      <c r="I48" s="3" t="s">
        <v>163</v>
      </c>
      <c r="J48" t="s">
        <v>162</v>
      </c>
      <c r="K48" s="3" t="s">
        <v>162</v>
      </c>
      <c r="L48" s="4">
        <f>COUNTIF(Tabla2[[#This Row],[Alex]:[Rolando]],"exitoso")</f>
        <v>3</v>
      </c>
    </row>
    <row r="49" spans="4:12" x14ac:dyDescent="0.25">
      <c r="D49" t="s">
        <v>7</v>
      </c>
      <c r="E49" t="s">
        <v>63</v>
      </c>
      <c r="F49" t="s">
        <v>64</v>
      </c>
      <c r="G49" t="s">
        <v>154</v>
      </c>
      <c r="H49" s="3" t="s">
        <v>162</v>
      </c>
      <c r="I49" s="3" t="s">
        <v>162</v>
      </c>
      <c r="J49" t="s">
        <v>162</v>
      </c>
      <c r="K49" s="3" t="s">
        <v>162</v>
      </c>
      <c r="L49" s="4">
        <f>COUNTIF(Tabla2[[#This Row],[Alex]:[Rolando]],"exitoso")</f>
        <v>4</v>
      </c>
    </row>
    <row r="50" spans="4:12" x14ac:dyDescent="0.25">
      <c r="D50" t="s">
        <v>19</v>
      </c>
      <c r="E50" t="s">
        <v>89</v>
      </c>
      <c r="F50" t="s">
        <v>64</v>
      </c>
      <c r="G50" t="s">
        <v>156</v>
      </c>
      <c r="H50" s="3" t="s">
        <v>162</v>
      </c>
      <c r="I50" s="3" t="s">
        <v>162</v>
      </c>
      <c r="J50" t="s">
        <v>162</v>
      </c>
      <c r="K50" s="3" t="s">
        <v>162</v>
      </c>
      <c r="L50" s="4">
        <f>COUNTIF(Tabla2[[#This Row],[Alex]:[Rolando]],"exitoso")</f>
        <v>4</v>
      </c>
    </row>
    <row r="51" spans="4:12" x14ac:dyDescent="0.25">
      <c r="D51" t="s">
        <v>41</v>
      </c>
      <c r="E51" t="s">
        <v>133</v>
      </c>
      <c r="F51" t="s">
        <v>59</v>
      </c>
      <c r="G51" t="s">
        <v>157</v>
      </c>
      <c r="H51" s="3" t="s">
        <v>162</v>
      </c>
      <c r="I51" s="3" t="s">
        <v>162</v>
      </c>
      <c r="J51" t="s">
        <v>162</v>
      </c>
      <c r="K51" s="3" t="s">
        <v>162</v>
      </c>
      <c r="L51" s="4">
        <f>COUNTIF(Tabla2[[#This Row],[Alex]:[Rolando]],"exitoso")</f>
        <v>4</v>
      </c>
    </row>
    <row r="52" spans="4:12" x14ac:dyDescent="0.25">
      <c r="D52" t="s">
        <v>4</v>
      </c>
      <c r="E52" t="s">
        <v>58</v>
      </c>
      <c r="F52" t="s">
        <v>59</v>
      </c>
      <c r="G52" t="s">
        <v>154</v>
      </c>
      <c r="H52" s="3" t="s">
        <v>162</v>
      </c>
      <c r="I52" s="3" t="s">
        <v>162</v>
      </c>
      <c r="J52" t="s">
        <v>162</v>
      </c>
      <c r="K52" s="3" t="s">
        <v>162</v>
      </c>
      <c r="L52" s="4">
        <f>COUNTIF(Tabla2[[#This Row],[Alex]:[Rolando]],"exitoso")</f>
        <v>4</v>
      </c>
    </row>
    <row r="53" spans="4:12" x14ac:dyDescent="0.25">
      <c r="D53" t="s">
        <v>1</v>
      </c>
      <c r="E53" t="s">
        <v>52</v>
      </c>
      <c r="F53" t="s">
        <v>53</v>
      </c>
      <c r="G53" t="s">
        <v>155</v>
      </c>
      <c r="H53" s="3" t="s">
        <v>162</v>
      </c>
      <c r="I53" s="3" t="s">
        <v>162</v>
      </c>
      <c r="J53" t="s">
        <v>162</v>
      </c>
      <c r="K53" s="3" t="s">
        <v>162</v>
      </c>
      <c r="L53" s="4">
        <f>COUNTIF(Tabla2[[#This Row],[Alex]:[Rolando]],"exitoso")</f>
        <v>4</v>
      </c>
    </row>
    <row r="54" spans="4:12" x14ac:dyDescent="0.25">
      <c r="D54" t="s">
        <v>16</v>
      </c>
      <c r="E54" t="s">
        <v>80</v>
      </c>
      <c r="F54" t="s">
        <v>81</v>
      </c>
      <c r="G54" t="s">
        <v>156</v>
      </c>
      <c r="H54" s="3" t="s">
        <v>162</v>
      </c>
      <c r="I54" s="3" t="s">
        <v>162</v>
      </c>
      <c r="J54" t="s">
        <v>162</v>
      </c>
      <c r="K54" s="3" t="s">
        <v>162</v>
      </c>
      <c r="L54" s="4">
        <f>COUNTIF(Tabla2[[#This Row],[Alex]:[Rolando]],"exitoso")</f>
        <v>4</v>
      </c>
    </row>
    <row r="55" spans="4:12" x14ac:dyDescent="0.25">
      <c r="D55" s="4"/>
      <c r="E55" s="4"/>
      <c r="F55" s="4"/>
      <c r="G55" s="4"/>
      <c r="H55" s="4">
        <f>COUNTIF(Tabla2[Alex],"exitoso")</f>
        <v>39</v>
      </c>
      <c r="I55" s="4">
        <f>COUNTIF(Tabla2[Brami],"exitoso")</f>
        <v>16</v>
      </c>
      <c r="J55" s="4">
        <f>COUNTIF(Tabla2[Douglas],"exitoso")</f>
        <v>11</v>
      </c>
      <c r="K55" s="4">
        <f>COUNTIF(Tabla2[Rolando],"exitoso")</f>
        <v>40</v>
      </c>
      <c r="L55" s="5">
        <f>44/52</f>
        <v>0.84615384615384615</v>
      </c>
    </row>
    <row r="60" spans="4:12" x14ac:dyDescent="0.25">
      <c r="D60" s="2" t="s">
        <v>166</v>
      </c>
      <c r="E60" s="2" t="s">
        <v>167</v>
      </c>
    </row>
    <row r="61" spans="4:12" x14ac:dyDescent="0.25">
      <c r="D61" t="s">
        <v>162</v>
      </c>
      <c r="E61" t="s">
        <v>169</v>
      </c>
    </row>
    <row r="62" spans="4:12" x14ac:dyDescent="0.25">
      <c r="D62" t="s">
        <v>163</v>
      </c>
      <c r="E62" t="s">
        <v>168</v>
      </c>
    </row>
    <row r="63" spans="4:12" x14ac:dyDescent="0.25">
      <c r="D63" t="s">
        <v>164</v>
      </c>
      <c r="E63" t="s">
        <v>170</v>
      </c>
    </row>
    <row r="64" spans="4:12" x14ac:dyDescent="0.25">
      <c r="D64" t="s">
        <v>165</v>
      </c>
      <c r="E64" t="s">
        <v>171</v>
      </c>
    </row>
  </sheetData>
  <conditionalFormatting sqref="L3:L54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DATAX 11</dc:creator>
  <cp:lastModifiedBy>DATAX 11</cp:lastModifiedBy>
  <dcterms:created xsi:type="dcterms:W3CDTF">2026-08-10T20:55:11Z</dcterms:created>
  <dcterms:modified xsi:type="dcterms:W3CDTF">2026-08-21T13:36:06Z</dcterms:modified>
</cp:coreProperties>
</file>